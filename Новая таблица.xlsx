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Информация о товаре:
Колонки Бренд - Текущая скидка
из отчета Цены и Скидки</t>
      </text>
    </comment>
    <comment authorId="0" ref="R5">
      <text>
        <t xml:space="preserve">Комиссия:
Тариф на единицу по предмету
Кабинет ВБ
раздел Аналитика
Комиссия и тарифы на услуги
</t>
      </text>
    </comment>
    <comment authorId="0" ref="U5">
      <text>
        <t xml:space="preserve">Логистика:
Тариф на единицу
Кабинет ВБ
раздел Аналитика
Коэффициенты складов
Берете базовый тариф (для товаров объемом до 5 л)
или рассчитываете тариф по калькулятору по габаритам упаковки
Если отгружаете на несколько складов - возьмите максимальный</t>
      </text>
    </comment>
    <comment authorId="0" ref="V5">
      <text>
        <t xml:space="preserve">% выкупа - отношение выкупленных товаров к заказанным
Отчет Аналитика по карточкам товаров
Если выкупа нет - % выкупа = 40-50% на одежду
90% на невозвратный товар
</t>
      </text>
    </comment>
    <comment authorId="0" ref="W5">
      <text>
        <t xml:space="preserve">50- обратная логистика</t>
      </text>
    </comment>
    <comment authorId="0" ref="X5">
      <text>
        <t xml:space="preserve">Рассчитываем долю  рекламы 
Например 5% от цены продажи
5% - фактически расход рекламы
Посмотрите сколько Вы тратите на рекламу
Сумма рекламных расходов / Выручку за тот же период (из Недельного отчета)
Считается за месяц или за неделю
</t>
      </text>
    </comment>
    <comment authorId="0" ref="Y5">
      <text>
        <t xml:space="preserve">Тариф на единицу
Кабинет ВБ
раздел Аналитика
Коэффициенты складов</t>
      </text>
    </comment>
  </commentList>
</comments>
</file>

<file path=xl/sharedStrings.xml><?xml version="1.0" encoding="utf-8"?>
<sst xmlns="http://schemas.openxmlformats.org/spreadsheetml/2006/main" count="39" uniqueCount="37">
  <si>
    <t>Дата обновления</t>
  </si>
  <si>
    <t>Старт 2</t>
  </si>
  <si>
    <t>Старт  1</t>
  </si>
  <si>
    <t>Изменение комиссии</t>
  </si>
  <si>
    <t>Если акция - проставьте изменение комиссии по акции (например -5 (снижение комиссии на 5%)
Если акции нет - проставьте 0</t>
  </si>
  <si>
    <t>Бренд</t>
  </si>
  <si>
    <t>Предмет</t>
  </si>
  <si>
    <t>Артикул поставщика</t>
  </si>
  <si>
    <t>Номенклатура</t>
  </si>
  <si>
    <t>Дней на сайте</t>
  </si>
  <si>
    <t>Оборачиваемость, дн</t>
  </si>
  <si>
    <t>Остаток товара на складе ВБ</t>
  </si>
  <si>
    <t>Текущая розн. цена (до скидки)</t>
  </si>
  <si>
    <t>Текущая скидка на сайте, %</t>
  </si>
  <si>
    <t>Текущая розн. цена (с учетом скидки)</t>
  </si>
  <si>
    <t>СПП</t>
  </si>
  <si>
    <t>Себест-ть единицы</t>
  </si>
  <si>
    <t>Комиссия, тариф базовый</t>
  </si>
  <si>
    <t>Комиссия по акции</t>
  </si>
  <si>
    <t>Комиссия, руб</t>
  </si>
  <si>
    <t>Логистика тариф, руб</t>
  </si>
  <si>
    <t>% выкупа</t>
  </si>
  <si>
    <t>Доставка, руб</t>
  </si>
  <si>
    <t>Реклама</t>
  </si>
  <si>
    <t>Хранение</t>
  </si>
  <si>
    <t>Выручка с 1 ед</t>
  </si>
  <si>
    <t>Налог с ед., руб</t>
  </si>
  <si>
    <t>Прибыль с ед., руб</t>
  </si>
  <si>
    <t>Рентабельность</t>
  </si>
  <si>
    <t>Маржинальность</t>
  </si>
  <si>
    <t>Себестоимость остатков</t>
  </si>
  <si>
    <t>Выручка с остатков без учета налога</t>
  </si>
  <si>
    <t>С учетом налога</t>
  </si>
  <si>
    <t>Прибыль с остатков</t>
  </si>
  <si>
    <t>Пиджаки</t>
  </si>
  <si>
    <t>Пиджак 2 партиия борд</t>
  </si>
  <si>
    <t>Пиджак 2 партиия кор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</si>
</sst>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\ _₽_-;\-* #,##0\ _₽_-;_-* &quot;-&quot;??\ _₽_-;_-@"/>
    <numFmt numFmtId="165" formatCode="dd.mm.yyyy"/>
    <numFmt numFmtId="166" formatCode="_-* #,##0.00_-;\-* #,##0.00_-;_-* &quot;-&quot;??_-;_-@"/>
    <numFmt numFmtId="167" formatCode="_-* #,##0_-;\-* #,##0_-;_-* &quot;-&quot;??_-;_-@"/>
    <numFmt numFmtId="168" formatCode="_-* #,##0.00\ _₽_-;\-* #,##0.00\ _₽_-;_-* &quot;-&quot;??.00\ _₽_-;_-@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1.0"/>
      <color rgb="FFFF0000"/>
      <name val="Calibri"/>
    </font>
    <font>
      <sz val="8.0"/>
      <color theme="1"/>
      <name val="Calibri"/>
    </font>
    <font>
      <sz val="11.0"/>
      <color rgb="FFFF0000"/>
      <name val="Calibri"/>
    </font>
    <font>
      <sz val="11.0"/>
      <color rgb="FF9C0006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</fills>
  <borders count="8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thin">
        <color rgb="FF9A9A9A"/>
      </right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bottom style="thin">
        <color rgb="FF9A9A9A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3" fontId="1" numFmtId="164" xfId="0" applyAlignment="1" applyFill="1" applyFont="1" applyNumberFormat="1">
      <alignment vertical="bottom"/>
    </xf>
    <xf borderId="0" fillId="0" fontId="1" numFmtId="0" xfId="0" applyFont="1"/>
    <xf borderId="0" fillId="0" fontId="2" numFmtId="0" xfId="0" applyAlignment="1" applyFont="1">
      <alignment horizontal="right"/>
    </xf>
    <xf borderId="2" fillId="0" fontId="2" numFmtId="16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3" fillId="4" fontId="3" numFmtId="0" xfId="0" applyAlignment="1" applyBorder="1" applyFill="1" applyFont="1">
      <alignment horizontal="center"/>
    </xf>
    <xf borderId="0" fillId="0" fontId="4" numFmtId="0" xfId="0" applyAlignment="1" applyFont="1">
      <alignment shrinkToFit="0" vertical="bottom" wrapText="1"/>
    </xf>
    <xf borderId="0" fillId="0" fontId="1" numFmtId="165" xfId="0" applyAlignment="1" applyFont="1" applyNumberFormat="1">
      <alignment horizontal="center"/>
    </xf>
    <xf borderId="2" fillId="0" fontId="1" numFmtId="0" xfId="0" applyAlignment="1" applyBorder="1" applyFont="1">
      <alignment horizontal="center" vertical="bottom"/>
    </xf>
    <xf borderId="0" fillId="5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164" xfId="0" applyAlignment="1" applyBorder="1" applyFont="1" applyNumberFormat="1">
      <alignment horizontal="center" shrinkToFit="0" wrapText="1"/>
    </xf>
    <xf borderId="0" fillId="2" fontId="2" numFmtId="164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3" fontId="2" numFmtId="164" xfId="0" applyAlignment="1" applyBorder="1" applyFont="1" applyNumberFormat="1">
      <alignment horizontal="center" shrinkToFit="0" wrapText="1"/>
    </xf>
    <xf borderId="1" fillId="6" fontId="2" numFmtId="164" xfId="0" applyAlignment="1" applyBorder="1" applyFill="1" applyFont="1" applyNumberFormat="1">
      <alignment horizontal="center" shrinkToFit="0" wrapText="1"/>
    </xf>
    <xf borderId="0" fillId="5" fontId="2" numFmtId="0" xfId="0" applyAlignment="1" applyFont="1">
      <alignment horizontal="center" shrinkToFit="0" wrapText="1"/>
    </xf>
    <xf borderId="4" fillId="0" fontId="1" numFmtId="0" xfId="0" applyAlignment="1" applyBorder="1" applyFont="1">
      <alignment horizontal="right" vertical="bottom"/>
    </xf>
    <xf borderId="5" fillId="0" fontId="6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right" vertical="bottom"/>
    </xf>
    <xf borderId="6" fillId="0" fontId="7" numFmtId="0" xfId="0" applyAlignment="1" applyBorder="1" applyFont="1">
      <alignment horizontal="right" vertical="bottom"/>
    </xf>
    <xf borderId="1" fillId="2" fontId="1" numFmtId="164" xfId="0" applyAlignment="1" applyBorder="1" applyFont="1" applyNumberFormat="1">
      <alignment horizontal="right" vertical="bottom"/>
    </xf>
    <xf borderId="0" fillId="2" fontId="1" numFmtId="164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7" fillId="0" fontId="1" numFmtId="167" xfId="0" applyAlignment="1" applyBorder="1" applyFont="1" applyNumberFormat="1">
      <alignment horizontal="right" vertical="bottom"/>
    </xf>
    <xf borderId="0" fillId="0" fontId="1" numFmtId="168" xfId="0" applyAlignment="1" applyFont="1" applyNumberFormat="1">
      <alignment horizontal="right" vertical="bottom"/>
    </xf>
    <xf borderId="0" fillId="3" fontId="1" numFmtId="9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5" fontId="1" numFmtId="164" xfId="0" applyAlignment="1" applyFont="1" applyNumberFormat="1">
      <alignment vertical="bottom"/>
    </xf>
    <xf borderId="6" fillId="5" fontId="1" numFmtId="0" xfId="0" applyAlignment="1" applyBorder="1" applyFont="1">
      <alignment vertical="bottom"/>
    </xf>
    <xf borderId="0" fillId="5" fontId="1" numFmtId="9" xfId="0" applyAlignment="1" applyFont="1" applyNumberFormat="1">
      <alignment vertical="bottom"/>
    </xf>
    <xf borderId="4" fillId="7" fontId="1" numFmtId="0" xfId="0" applyAlignment="1" applyBorder="1" applyFill="1" applyFont="1">
      <alignment vertical="bottom"/>
    </xf>
    <xf borderId="5" fillId="7" fontId="6" numFmtId="0" xfId="0" applyAlignment="1" applyBorder="1" applyFont="1">
      <alignment vertical="bottom"/>
    </xf>
    <xf borderId="4" fillId="7" fontId="1" numFmtId="0" xfId="0" applyAlignment="1" applyBorder="1" applyFont="1">
      <alignment horizontal="right" vertical="bottom"/>
    </xf>
    <xf borderId="6" fillId="7" fontId="1" numFmtId="0" xfId="0" applyAlignment="1" applyBorder="1" applyFont="1">
      <alignment vertical="bottom"/>
    </xf>
    <xf borderId="5" fillId="7" fontId="1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6" fillId="7" fontId="1" numFmtId="0" xfId="0" applyAlignment="1" applyBorder="1" applyFont="1">
      <alignment horizontal="right" vertical="bottom"/>
    </xf>
    <xf borderId="1" fillId="7" fontId="1" numFmtId="164" xfId="0" applyAlignment="1" applyBorder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0" fillId="7" fontId="7" numFmtId="164" xfId="0" applyAlignment="1" applyFont="1" applyNumberFormat="1">
      <alignment horizontal="right" vertical="bottom"/>
    </xf>
    <xf borderId="0" fillId="7" fontId="1" numFmtId="0" xfId="0" applyAlignment="1" applyFont="1">
      <alignment horizontal="right" vertical="bottom"/>
    </xf>
    <xf borderId="7" fillId="8" fontId="8" numFmtId="167" xfId="0" applyAlignment="1" applyBorder="1" applyFill="1" applyFont="1" applyNumberFormat="1">
      <alignment horizontal="right" vertical="bottom"/>
    </xf>
    <xf borderId="0" fillId="7" fontId="1" numFmtId="168" xfId="0" applyAlignment="1" applyFont="1" applyNumberFormat="1">
      <alignment horizontal="right" vertical="bottom"/>
    </xf>
    <xf borderId="0" fillId="7" fontId="1" numFmtId="9" xfId="0" applyAlignment="1" applyFont="1" applyNumberFormat="1">
      <alignment horizontal="right" vertical="bottom"/>
    </xf>
    <xf borderId="0" fillId="7" fontId="1" numFmtId="164" xfId="0" applyAlignment="1" applyFont="1" applyNumberFormat="1">
      <alignment vertical="bottom"/>
    </xf>
    <xf borderId="0" fillId="7" fontId="1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3"/>
      <c r="O1" s="4"/>
      <c r="P1" s="5"/>
      <c r="Q1" s="1"/>
      <c r="R1" s="1"/>
      <c r="S1" s="1"/>
      <c r="T1" s="2"/>
      <c r="U1" s="1"/>
      <c r="V1" s="1"/>
      <c r="W1" s="2"/>
      <c r="X1" s="2"/>
      <c r="Y1" s="2"/>
      <c r="Z1" s="2"/>
      <c r="AA1" s="2"/>
      <c r="AB1" s="2"/>
      <c r="AC1" s="6"/>
      <c r="AD1" s="2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7"/>
      <c r="B2" s="8" t="s">
        <v>0</v>
      </c>
      <c r="C2" s="7"/>
      <c r="D2" s="9">
        <v>45542.0</v>
      </c>
      <c r="E2" s="1"/>
      <c r="F2" s="1"/>
      <c r="G2" s="10" t="s">
        <v>1</v>
      </c>
      <c r="H2" s="1"/>
      <c r="I2" s="1"/>
      <c r="J2" s="1"/>
      <c r="K2" s="10" t="s">
        <v>2</v>
      </c>
      <c r="L2" s="1"/>
      <c r="M2" s="1"/>
      <c r="N2" s="3"/>
      <c r="O2" s="4"/>
      <c r="P2" s="5"/>
      <c r="Q2" s="1"/>
      <c r="R2" s="11" t="s">
        <v>3</v>
      </c>
      <c r="S2" s="12">
        <v>0.0</v>
      </c>
      <c r="T2" s="2"/>
      <c r="U2" s="13" t="s">
        <v>4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/>
      <c r="B3" s="1"/>
      <c r="C3" s="1"/>
      <c r="D3" s="1"/>
      <c r="E3" s="1"/>
      <c r="F3" s="1"/>
      <c r="G3" s="14">
        <v>45658.0</v>
      </c>
      <c r="H3" s="2"/>
      <c r="I3" s="1"/>
      <c r="J3" s="1"/>
      <c r="K3" s="14">
        <v>45522.0</v>
      </c>
      <c r="L3" s="1"/>
      <c r="M3" s="1"/>
      <c r="N3" s="3"/>
      <c r="O3" s="4"/>
      <c r="P3" s="5"/>
      <c r="Q3" s="1"/>
      <c r="R3" s="1"/>
      <c r="S3" s="1"/>
      <c r="T3" s="2"/>
      <c r="U3" s="1"/>
      <c r="V3" s="1"/>
      <c r="W3" s="2"/>
      <c r="X3" s="2"/>
      <c r="Y3" s="2"/>
      <c r="Z3" s="2"/>
      <c r="AA3" s="2"/>
      <c r="AB3" s="2"/>
      <c r="AC3" s="6"/>
      <c r="AD3" s="2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3"/>
      <c r="O4" s="4"/>
      <c r="P4" s="5"/>
      <c r="Q4" s="15">
        <v>150.0</v>
      </c>
      <c r="R4" s="1"/>
      <c r="S4" s="1"/>
      <c r="T4" s="2"/>
      <c r="U4" s="1"/>
      <c r="V4" s="1"/>
      <c r="W4" s="2"/>
      <c r="X4" s="2"/>
      <c r="Y4" s="2"/>
      <c r="Z4" s="2"/>
      <c r="AA4" s="2"/>
      <c r="AB4" s="2"/>
      <c r="AC4" s="6"/>
      <c r="AD4" s="2"/>
      <c r="AE4" s="1"/>
      <c r="AF4" s="1"/>
      <c r="AG4" s="1"/>
      <c r="AH4" s="1"/>
      <c r="AI4" s="1"/>
      <c r="AJ4" s="1"/>
      <c r="AK4" s="16"/>
    </row>
    <row r="5" ht="99.0" customHeight="1">
      <c r="A5" s="17" t="s">
        <v>5</v>
      </c>
      <c r="B5" s="17" t="s">
        <v>6</v>
      </c>
      <c r="C5" s="7"/>
      <c r="D5" s="17" t="s">
        <v>7</v>
      </c>
      <c r="E5" s="17" t="s">
        <v>8</v>
      </c>
      <c r="F5" s="7"/>
      <c r="G5" s="17" t="s">
        <v>9</v>
      </c>
      <c r="H5" s="7"/>
      <c r="I5" s="7"/>
      <c r="J5" s="18" t="s">
        <v>10</v>
      </c>
      <c r="K5" s="17" t="s">
        <v>11</v>
      </c>
      <c r="L5" s="17" t="s">
        <v>12</v>
      </c>
      <c r="M5" s="7"/>
      <c r="N5" s="19" t="s">
        <v>13</v>
      </c>
      <c r="O5" s="20" t="s">
        <v>14</v>
      </c>
      <c r="P5" s="21" t="s">
        <v>15</v>
      </c>
      <c r="Q5" s="17" t="s">
        <v>16</v>
      </c>
      <c r="R5" s="17" t="s">
        <v>17</v>
      </c>
      <c r="S5" s="22" t="s">
        <v>18</v>
      </c>
      <c r="T5" s="18" t="s">
        <v>19</v>
      </c>
      <c r="U5" s="17" t="s">
        <v>20</v>
      </c>
      <c r="V5" s="17" t="s">
        <v>21</v>
      </c>
      <c r="W5" s="18" t="s">
        <v>22</v>
      </c>
      <c r="X5" s="18" t="s">
        <v>23</v>
      </c>
      <c r="Y5" s="18" t="s">
        <v>24</v>
      </c>
      <c r="Z5" s="18" t="s">
        <v>25</v>
      </c>
      <c r="AA5" s="18" t="s">
        <v>26</v>
      </c>
      <c r="AB5" s="18" t="s">
        <v>27</v>
      </c>
      <c r="AC5" s="23" t="s">
        <v>28</v>
      </c>
      <c r="AD5" s="24" t="s">
        <v>29</v>
      </c>
      <c r="AE5" s="7"/>
      <c r="AF5" s="17" t="s">
        <v>30</v>
      </c>
      <c r="AG5" s="17" t="s">
        <v>31</v>
      </c>
      <c r="AH5" s="17" t="s">
        <v>32</v>
      </c>
      <c r="AI5" s="17" t="s">
        <v>33</v>
      </c>
      <c r="AJ5" s="7"/>
      <c r="AK5" s="25"/>
      <c r="AL5" s="25"/>
      <c r="AM5" s="25"/>
      <c r="AN5" s="25"/>
    </row>
    <row r="6">
      <c r="A6" s="26">
        <v>76.0</v>
      </c>
      <c r="B6" s="27" t="s">
        <v>34</v>
      </c>
      <c r="C6" s="26">
        <v>3.4411122234E10</v>
      </c>
      <c r="D6" s="28"/>
      <c r="E6" s="29"/>
      <c r="F6" s="1"/>
      <c r="G6" s="30">
        <f>TODAY()-G3</f>
        <v>236</v>
      </c>
      <c r="H6" s="1"/>
      <c r="I6" s="1"/>
      <c r="J6" s="30">
        <v>1.0</v>
      </c>
      <c r="K6" s="31">
        <v>0.0</v>
      </c>
      <c r="L6" s="30">
        <v>8000.0</v>
      </c>
      <c r="M6" s="1"/>
      <c r="N6" s="30">
        <v>3.0</v>
      </c>
      <c r="O6" s="32">
        <f t="shared" ref="O6:O8" si="1">L6*(100-N6)/100</f>
        <v>7760</v>
      </c>
      <c r="P6" s="33">
        <f>O6*0.69</f>
        <v>5354.4</v>
      </c>
      <c r="Q6" s="34">
        <v>1700.0</v>
      </c>
      <c r="R6" s="35">
        <v>26.0</v>
      </c>
      <c r="S6" s="36">
        <f t="shared" ref="S6:S8" si="2">R6+$S$2</f>
        <v>26</v>
      </c>
      <c r="T6" s="35">
        <f t="shared" ref="T6:T8" si="3">O6*S6/100</f>
        <v>2017.6</v>
      </c>
      <c r="U6" s="37">
        <f t="shared" ref="U6:U8" si="4">$Q$4</f>
        <v>150</v>
      </c>
      <c r="V6" s="38">
        <v>30.0</v>
      </c>
      <c r="W6" s="35">
        <f t="shared" ref="W6:W8" si="5">(V6/100*U6+(1-V6/100)*(U6+50))*100/V6</f>
        <v>616.6666667</v>
      </c>
      <c r="X6" s="35">
        <f>O6*3%</f>
        <v>232.8</v>
      </c>
      <c r="Y6" s="39">
        <f>0.33*145%</f>
        <v>0.4785</v>
      </c>
      <c r="Z6" s="35">
        <f t="shared" ref="Z6:Z8" si="6">O6-T6-W6-X6-Y6</f>
        <v>4892.454833</v>
      </c>
      <c r="AA6" s="35">
        <f t="shared" ref="AA6:AA8" si="7">O6*7%</f>
        <v>543.2</v>
      </c>
      <c r="AB6" s="35">
        <f t="shared" ref="AB6:AB8" si="8">O6-Q6-T6-W6-X6-Y6-AA6</f>
        <v>2649.254833</v>
      </c>
      <c r="AC6" s="40">
        <f t="shared" ref="AC6:AC8" si="9">AB6/Q6</f>
        <v>1.558385196</v>
      </c>
      <c r="AD6" s="41">
        <f t="shared" ref="AD6:AD8" si="10">AB6/O6</f>
        <v>0.3413988187</v>
      </c>
      <c r="AE6" s="1"/>
      <c r="AF6" s="35">
        <f t="shared" ref="AF6:AF8" si="11">Q6*K6</f>
        <v>0</v>
      </c>
      <c r="AG6" s="35">
        <f t="shared" ref="AG6:AG8" si="12">Z6*K6</f>
        <v>0</v>
      </c>
      <c r="AH6" s="2"/>
      <c r="AI6" s="35">
        <f t="shared" ref="AI6:AI8" si="13">AB6*K6</f>
        <v>0</v>
      </c>
      <c r="AJ6" s="1"/>
      <c r="AK6" s="42"/>
      <c r="AL6" s="43"/>
      <c r="AM6" s="42"/>
      <c r="AN6" s="44"/>
    </row>
    <row r="7">
      <c r="A7" s="45" t="s">
        <v>35</v>
      </c>
      <c r="B7" s="46" t="s">
        <v>34</v>
      </c>
      <c r="C7" s="47">
        <v>3.4411122234E10</v>
      </c>
      <c r="D7" s="48"/>
      <c r="E7" s="49"/>
      <c r="F7" s="50"/>
      <c r="G7" s="51">
        <v>522.0</v>
      </c>
      <c r="H7" s="50"/>
      <c r="I7" s="50"/>
      <c r="J7" s="51">
        <v>1.0</v>
      </c>
      <c r="K7" s="51">
        <v>337.0</v>
      </c>
      <c r="L7" s="51">
        <v>8000.0</v>
      </c>
      <c r="M7" s="50"/>
      <c r="N7" s="51">
        <v>7.0</v>
      </c>
      <c r="O7" s="52">
        <f t="shared" si="1"/>
        <v>7440</v>
      </c>
      <c r="P7" s="53">
        <f t="shared" ref="P7:P8" si="14">O7*0.72</f>
        <v>5356.8</v>
      </c>
      <c r="Q7" s="34">
        <v>1700.0</v>
      </c>
      <c r="R7" s="53">
        <v>31.0</v>
      </c>
      <c r="S7" s="54">
        <f t="shared" si="2"/>
        <v>31</v>
      </c>
      <c r="T7" s="53">
        <f t="shared" si="3"/>
        <v>2306.4</v>
      </c>
      <c r="U7" s="55">
        <f t="shared" si="4"/>
        <v>150</v>
      </c>
      <c r="V7" s="56">
        <v>22.0</v>
      </c>
      <c r="W7" s="53">
        <f t="shared" si="5"/>
        <v>859.0909091</v>
      </c>
      <c r="X7" s="53">
        <f t="shared" ref="X7:X8" si="15">O7*5%</f>
        <v>372</v>
      </c>
      <c r="Y7" s="57">
        <f t="shared" ref="Y7:Y8" si="16">1*145%</f>
        <v>1.45</v>
      </c>
      <c r="Z7" s="53">
        <f t="shared" si="6"/>
        <v>3901.059091</v>
      </c>
      <c r="AA7" s="53">
        <f t="shared" si="7"/>
        <v>520.8</v>
      </c>
      <c r="AB7" s="53">
        <f t="shared" si="8"/>
        <v>1680.259091</v>
      </c>
      <c r="AC7" s="58">
        <f t="shared" si="9"/>
        <v>0.9883877005</v>
      </c>
      <c r="AD7" s="58">
        <f t="shared" si="10"/>
        <v>0.2258412757</v>
      </c>
      <c r="AE7" s="50"/>
      <c r="AF7" s="53">
        <f t="shared" si="11"/>
        <v>572900</v>
      </c>
      <c r="AG7" s="53">
        <f t="shared" si="12"/>
        <v>1314656.914</v>
      </c>
      <c r="AH7" s="53">
        <f t="shared" ref="AH7:AH8" si="17">(Z7-AA7)*K7</f>
        <v>1139147.314</v>
      </c>
      <c r="AI7" s="53">
        <f t="shared" si="13"/>
        <v>566247.3136</v>
      </c>
      <c r="AJ7" s="50"/>
      <c r="AK7" s="59"/>
      <c r="AL7" s="48"/>
      <c r="AM7" s="59"/>
      <c r="AN7" s="60"/>
    </row>
    <row r="8">
      <c r="A8" s="45" t="s">
        <v>36</v>
      </c>
      <c r="B8" s="46" t="s">
        <v>34</v>
      </c>
      <c r="C8" s="47">
        <v>3.4411122234E10</v>
      </c>
      <c r="D8" s="48"/>
      <c r="E8" s="49"/>
      <c r="F8" s="50"/>
      <c r="G8" s="51">
        <v>532.0</v>
      </c>
      <c r="H8" s="50"/>
      <c r="I8" s="50"/>
      <c r="J8" s="51">
        <v>1.0</v>
      </c>
      <c r="K8" s="51">
        <v>290.0</v>
      </c>
      <c r="L8" s="51">
        <v>8000.0</v>
      </c>
      <c r="M8" s="50"/>
      <c r="N8" s="51">
        <v>7.0</v>
      </c>
      <c r="O8" s="52">
        <f t="shared" si="1"/>
        <v>7440</v>
      </c>
      <c r="P8" s="53">
        <f t="shared" si="14"/>
        <v>5356.8</v>
      </c>
      <c r="Q8" s="34">
        <v>1700.0</v>
      </c>
      <c r="R8" s="53">
        <v>31.0</v>
      </c>
      <c r="S8" s="54">
        <f t="shared" si="2"/>
        <v>31</v>
      </c>
      <c r="T8" s="53">
        <f t="shared" si="3"/>
        <v>2306.4</v>
      </c>
      <c r="U8" s="55">
        <f t="shared" si="4"/>
        <v>150</v>
      </c>
      <c r="V8" s="56">
        <v>22.0</v>
      </c>
      <c r="W8" s="53">
        <f t="shared" si="5"/>
        <v>859.0909091</v>
      </c>
      <c r="X8" s="53">
        <f t="shared" si="15"/>
        <v>372</v>
      </c>
      <c r="Y8" s="57">
        <f t="shared" si="16"/>
        <v>1.45</v>
      </c>
      <c r="Z8" s="53">
        <f t="shared" si="6"/>
        <v>3901.059091</v>
      </c>
      <c r="AA8" s="53">
        <f t="shared" si="7"/>
        <v>520.8</v>
      </c>
      <c r="AB8" s="53">
        <f t="shared" si="8"/>
        <v>1680.259091</v>
      </c>
      <c r="AC8" s="58">
        <f t="shared" si="9"/>
        <v>0.9883877005</v>
      </c>
      <c r="AD8" s="58">
        <f t="shared" si="10"/>
        <v>0.2258412757</v>
      </c>
      <c r="AE8" s="50"/>
      <c r="AF8" s="53">
        <f t="shared" si="11"/>
        <v>493000</v>
      </c>
      <c r="AG8" s="53">
        <f t="shared" si="12"/>
        <v>1131307.136</v>
      </c>
      <c r="AH8" s="53">
        <f t="shared" si="17"/>
        <v>980275.1364</v>
      </c>
      <c r="AI8" s="53">
        <f t="shared" si="13"/>
        <v>487275.1364</v>
      </c>
      <c r="AJ8" s="50"/>
      <c r="AK8" s="59"/>
      <c r="AL8" s="48"/>
      <c r="AM8" s="59"/>
      <c r="AN8" s="60"/>
    </row>
  </sheetData>
  <mergeCells count="2">
    <mergeCell ref="U2:AC2"/>
    <mergeCell ref="AK4:AN4"/>
  </mergeCells>
  <drawing r:id="rId2"/>
  <legacyDrawing r:id="rId3"/>
</worksheet>
</file>